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izrantsevavs\Documents\portfolio\my\"/>
    </mc:Choice>
  </mc:AlternateContent>
  <xr:revisionPtr revIDLastSave="0" documentId="13_ncr:1_{75B46D62-B935-42C1-B459-03357DB6C129}" xr6:coauthVersionLast="36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Лист1" sheetId="1" r:id="rId1"/>
  </sheets>
  <definedNames>
    <definedName name="_xlnm._FilterDatabase" localSheetId="0" hidden="1">Лист1!$B$1:$Q$1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2" i="1" l="1"/>
  <c r="P3" i="1"/>
  <c r="P4" i="1"/>
  <c r="P5" i="1"/>
  <c r="P6" i="1"/>
  <c r="P7" i="1"/>
  <c r="P8" i="1"/>
</calcChain>
</file>

<file path=xl/sharedStrings.xml><?xml version="1.0" encoding="utf-8"?>
<sst xmlns="http://schemas.openxmlformats.org/spreadsheetml/2006/main" count="76" uniqueCount="50">
  <si>
    <t>Фамилия</t>
  </si>
  <si>
    <t>Имя</t>
  </si>
  <si>
    <t>Отчество</t>
  </si>
  <si>
    <t>Дата рождения</t>
  </si>
  <si>
    <t>Пол</t>
  </si>
  <si>
    <t>Клуб</t>
  </si>
  <si>
    <t>Разряд</t>
  </si>
  <si>
    <t>кю</t>
  </si>
  <si>
    <t>тренер</t>
  </si>
  <si>
    <t>id_team</t>
  </si>
  <si>
    <t>Личка</t>
  </si>
  <si>
    <t>Кумите</t>
  </si>
  <si>
    <t>Вес</t>
  </si>
  <si>
    <t>Павлович</t>
  </si>
  <si>
    <t>Вершинин</t>
  </si>
  <si>
    <t>Иван</t>
  </si>
  <si>
    <t>Алексеевич</t>
  </si>
  <si>
    <t>София</t>
  </si>
  <si>
    <t>Дмитриевич</t>
  </si>
  <si>
    <t>Николаевна</t>
  </si>
  <si>
    <t>Алексеевна</t>
  </si>
  <si>
    <t>Сергеевич</t>
  </si>
  <si>
    <t>Елисей</t>
  </si>
  <si>
    <t>Ячменев</t>
  </si>
  <si>
    <t>Всеволод</t>
  </si>
  <si>
    <t>Юрьевич</t>
  </si>
  <si>
    <t>Мирослава</t>
  </si>
  <si>
    <t>м</t>
  </si>
  <si>
    <t>ж</t>
  </si>
  <si>
    <t>Витязь</t>
  </si>
  <si>
    <t>Климовск</t>
  </si>
  <si>
    <t>б/р</t>
  </si>
  <si>
    <t>8 кю</t>
  </si>
  <si>
    <t>10 кю</t>
  </si>
  <si>
    <t>7 кю</t>
  </si>
  <si>
    <t>9 кю</t>
  </si>
  <si>
    <t>Тажин А.Е.</t>
  </si>
  <si>
    <t>Валуев В.Г., Котенкова Д.А.</t>
  </si>
  <si>
    <t>ката</t>
  </si>
  <si>
    <t>Айсберг</t>
  </si>
  <si>
    <t>Басова</t>
  </si>
  <si>
    <t>3 юношеский</t>
  </si>
  <si>
    <t>Ряднов И.А.</t>
  </si>
  <si>
    <t>Макарова</t>
  </si>
  <si>
    <t>Северный</t>
  </si>
  <si>
    <t>Васильева Д.С.</t>
  </si>
  <si>
    <t>Потапенко</t>
  </si>
  <si>
    <t>Камков</t>
  </si>
  <si>
    <t>Виктор</t>
  </si>
  <si>
    <t>Ловков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</si>
</sst>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14" fontId="0" fillId="0" borderId="0" xfId="0" applyNumberFormat="1"/>
    <xf numFmtId="1" fontId="0" fillId="0" borderId="0" xfId="0" applyNumberFormat="1"/>
    <xf numFmtId="2" fontId="1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vertical="center" wrapText="1"/>
    </xf>
    <xf numFmtId="2" fontId="0" fillId="0" borderId="0" xfId="0" applyNumberFormat="1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"/>
  <sheetViews>
    <sheetView tabSelected="1" workbookViewId="0">
      <selection activeCell="A9" sqref="A9:XFD11"/>
    </sheetView>
  </sheetViews>
  <sheetFormatPr defaultRowHeight="15" x14ac:dyDescent="0.25"/>
  <cols>
    <col min="1" max="3" width="13" customWidth="1"/>
    <col min="4" max="4" width="15.85546875" bestFit="1" customWidth="1"/>
    <col min="5" max="6" width="13" customWidth="1"/>
    <col min="9" max="10" width="13" style="10" customWidth="1"/>
    <col min="12" max="12" width="13" customWidth="1"/>
    <col min="13" max="13" width="25.140625" bestFit="1" customWidth="1"/>
    <col min="14" max="16" width="9.140625" style="5"/>
  </cols>
  <sheetData>
    <row r="1" spans="1:17" ht="30" x14ac:dyDescent="0.2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1"/>
      <c r="G1" s="1" t="s">
        <v>7</v>
      </c>
      <c r="H1" s="1" t="s">
        <v>6</v>
      </c>
      <c r="I1" s="8"/>
      <c r="J1" s="8" t="s">
        <v>12</v>
      </c>
      <c r="L1" s="1" t="s">
        <v>5</v>
      </c>
      <c r="M1" s="1" t="s">
        <v>8</v>
      </c>
      <c r="N1" s="4" t="s">
        <v>9</v>
      </c>
      <c r="O1" s="4" t="s">
        <v>11</v>
      </c>
      <c r="P1" s="4" t="s">
        <v>10</v>
      </c>
    </row>
    <row r="2" spans="1:17" x14ac:dyDescent="0.25">
      <c r="A2" t="s">
        <v>27</v>
      </c>
      <c r="B2" t="s">
        <v>23</v>
      </c>
      <c r="C2" t="s">
        <v>24</v>
      </c>
      <c r="D2" t="s">
        <v>25</v>
      </c>
      <c r="E2" s="6">
        <v>42908</v>
      </c>
      <c r="F2" s="6">
        <v>9</v>
      </c>
      <c r="G2" t="s">
        <v>32</v>
      </c>
      <c r="H2" t="s">
        <v>41</v>
      </c>
      <c r="K2" t="s">
        <v>38</v>
      </c>
      <c r="L2" t="s">
        <v>30</v>
      </c>
      <c r="M2" t="s">
        <v>36</v>
      </c>
      <c r="N2" s="5">
        <v>1</v>
      </c>
      <c r="P2" s="5">
        <f>IF(K2="ката",1, "")</f>
        <v>1</v>
      </c>
    </row>
    <row r="3" spans="1:17" x14ac:dyDescent="0.25">
      <c r="A3" t="s">
        <v>27</v>
      </c>
      <c r="B3" t="s">
        <v>40</v>
      </c>
      <c r="C3" t="s">
        <v>17</v>
      </c>
      <c r="D3" t="s">
        <v>20</v>
      </c>
      <c r="E3" s="6">
        <v>42914</v>
      </c>
      <c r="F3" s="6">
        <v>9</v>
      </c>
      <c r="G3" t="s">
        <v>35</v>
      </c>
      <c r="H3" t="s">
        <v>41</v>
      </c>
      <c r="K3" t="s">
        <v>38</v>
      </c>
      <c r="L3" t="s">
        <v>39</v>
      </c>
      <c r="M3" t="s">
        <v>42</v>
      </c>
      <c r="N3" s="5">
        <v>1</v>
      </c>
      <c r="P3" s="5">
        <f>IF(K3="ката",1, "")</f>
        <v>1</v>
      </c>
    </row>
    <row r="4" spans="1:17" x14ac:dyDescent="0.25">
      <c r="A4" t="s">
        <v>27</v>
      </c>
      <c r="B4" t="s">
        <v>43</v>
      </c>
      <c r="C4" t="s">
        <v>26</v>
      </c>
      <c r="D4" t="s">
        <v>19</v>
      </c>
      <c r="E4" s="6">
        <v>42914</v>
      </c>
      <c r="F4" s="6">
        <v>9</v>
      </c>
      <c r="G4" t="s">
        <v>35</v>
      </c>
      <c r="H4" t="s">
        <v>31</v>
      </c>
      <c r="K4" t="s">
        <v>38</v>
      </c>
      <c r="L4" t="s">
        <v>39</v>
      </c>
      <c r="M4" s="11" t="s">
        <v>42</v>
      </c>
      <c r="N4" s="5">
        <v>1</v>
      </c>
      <c r="P4" s="5">
        <f>IF(K4="ката",1, "")</f>
        <v>1</v>
      </c>
    </row>
    <row r="5" spans="1:17" x14ac:dyDescent="0.25">
      <c r="A5" t="s">
        <v>27</v>
      </c>
      <c r="B5" s="2" t="s">
        <v>49</v>
      </c>
      <c r="C5" s="2" t="s">
        <v>15</v>
      </c>
      <c r="D5" s="2" t="s">
        <v>18</v>
      </c>
      <c r="E5" s="3">
        <v>42977</v>
      </c>
      <c r="F5" s="3">
        <v>9</v>
      </c>
      <c r="G5" s="2" t="s">
        <v>33</v>
      </c>
      <c r="H5" s="2" t="s">
        <v>31</v>
      </c>
      <c r="I5" s="9"/>
      <c r="J5" s="9"/>
      <c r="K5" t="s">
        <v>38</v>
      </c>
      <c r="L5" s="2" t="s">
        <v>44</v>
      </c>
      <c r="M5" s="2" t="s">
        <v>45</v>
      </c>
      <c r="N5" s="5">
        <v>2</v>
      </c>
      <c r="P5" s="5">
        <f>IF(K5="ката",1, "")</f>
        <v>1</v>
      </c>
      <c r="Q5" s="7"/>
    </row>
    <row r="6" spans="1:17" x14ac:dyDescent="0.25">
      <c r="A6" t="s">
        <v>28</v>
      </c>
      <c r="B6" t="s">
        <v>47</v>
      </c>
      <c r="C6" t="s">
        <v>48</v>
      </c>
      <c r="D6" t="s">
        <v>13</v>
      </c>
      <c r="E6" s="6">
        <v>42991</v>
      </c>
      <c r="F6" s="6">
        <v>9</v>
      </c>
      <c r="G6" t="s">
        <v>33</v>
      </c>
      <c r="H6" t="s">
        <v>31</v>
      </c>
      <c r="K6" t="s">
        <v>38</v>
      </c>
      <c r="L6" t="s">
        <v>44</v>
      </c>
      <c r="M6" t="s">
        <v>45</v>
      </c>
      <c r="N6" s="5">
        <v>2</v>
      </c>
      <c r="P6" s="5">
        <f>IF(K6="ката",1, "")</f>
        <v>1</v>
      </c>
    </row>
    <row r="7" spans="1:17" x14ac:dyDescent="0.25">
      <c r="A7" t="s">
        <v>28</v>
      </c>
      <c r="B7" t="s">
        <v>14</v>
      </c>
      <c r="C7" t="s">
        <v>15</v>
      </c>
      <c r="D7" t="s">
        <v>16</v>
      </c>
      <c r="E7" s="6">
        <v>42991</v>
      </c>
      <c r="F7">
        <v>9</v>
      </c>
      <c r="G7" t="s">
        <v>34</v>
      </c>
      <c r="H7" t="s">
        <v>31</v>
      </c>
      <c r="K7" t="s">
        <v>38</v>
      </c>
      <c r="L7" t="s">
        <v>29</v>
      </c>
      <c r="M7" t="s">
        <v>37</v>
      </c>
      <c r="N7" s="5">
        <v>2</v>
      </c>
      <c r="P7" s="5">
        <f>IF(K7="ката",1, "")</f>
        <v>1</v>
      </c>
    </row>
    <row r="8" spans="1:17" x14ac:dyDescent="0.25">
      <c r="A8" t="s">
        <v>28</v>
      </c>
      <c r="B8" t="s">
        <v>46</v>
      </c>
      <c r="C8" t="s">
        <v>22</v>
      </c>
      <c r="D8" t="s">
        <v>21</v>
      </c>
      <c r="E8" s="6">
        <v>43019</v>
      </c>
      <c r="F8" s="6">
        <v>8</v>
      </c>
      <c r="G8" t="s">
        <v>32</v>
      </c>
      <c r="H8" t="s">
        <v>31</v>
      </c>
      <c r="K8" t="s">
        <v>38</v>
      </c>
      <c r="L8" t="s">
        <v>39</v>
      </c>
      <c r="M8" t="s">
        <v>42</v>
      </c>
      <c r="P8" s="5">
        <f>IF(K8="ката",1, "")</f>
        <v>1</v>
      </c>
    </row>
  </sheetData>
  <autoFilter ref="B1:Q1" xr:uid="{00000000-0001-0000-0000-000000000000}">
    <sortState ref="B2:Q8">
      <sortCondition ref="E1"/>
    </sortState>
  </autoFilter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Изранцева Виктория Сергеевна</dc:creator>
  <cp:lastModifiedBy>Изранцева Виктория Сергеевна</cp:lastModifiedBy>
  <dcterms:created xsi:type="dcterms:W3CDTF">2015-06-05T18:19:34Z</dcterms:created>
  <dcterms:modified xsi:type="dcterms:W3CDTF">2026-10-26T07:32:11Z</dcterms:modified>
</cp:coreProperties>
</file>