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esktop\Рабочая\кибер турнир\2026\"/>
    </mc:Choice>
  </mc:AlternateContent>
  <xr:revisionPtr revIDLastSave="0" documentId="13_ncr:1_{4300155F-DC02-4324-9B4B-B35E44AFA31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4" i="1" l="1"/>
  <c r="W25" i="1"/>
  <c r="W26" i="1"/>
  <c r="W27" i="1"/>
  <c r="W28" i="1"/>
  <c r="W29" i="1"/>
  <c r="W23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G1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G45" i="1"/>
  <c r="F45" i="1"/>
  <c r="F15" i="1"/>
  <c r="F3" i="1"/>
  <c r="F4" i="1"/>
  <c r="F5" i="1"/>
  <c r="F6" i="1"/>
  <c r="F7" i="1"/>
  <c r="F8" i="1"/>
  <c r="F9" i="1"/>
  <c r="F10" i="1"/>
  <c r="F11" i="1"/>
  <c r="F12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<sst xmlns="http://schemas.openxmlformats.org/spreadsheetml/2006/main" count="150" uniqueCount="62">
  <si>
    <t>Матч 1</t>
  </si>
  <si>
    <t>Матч 2</t>
  </si>
  <si>
    <t>Матч 3</t>
  </si>
  <si>
    <t>Матч 4</t>
  </si>
  <si>
    <t>Матч 5</t>
  </si>
  <si>
    <t>Матч 6</t>
  </si>
  <si>
    <t>Матч 7</t>
  </si>
  <si>
    <t>Матч 8</t>
  </si>
  <si>
    <t>Матч 9</t>
  </si>
  <si>
    <t>Матч 10</t>
  </si>
  <si>
    <t>Время</t>
  </si>
  <si>
    <t>#</t>
  </si>
  <si>
    <t>Команда А</t>
  </si>
  <si>
    <t>Команда В</t>
  </si>
  <si>
    <t>10:30 - 11:30</t>
  </si>
  <si>
    <t>11:30 - 12:30</t>
  </si>
  <si>
    <t>13:30 - 14:30</t>
  </si>
  <si>
    <t>14:30 - 15:30</t>
  </si>
  <si>
    <t>15:30 - 16:30</t>
  </si>
  <si>
    <t>Команда 1</t>
  </si>
  <si>
    <t>Команда 2</t>
  </si>
  <si>
    <t>Команда 3</t>
  </si>
  <si>
    <t>Команда 4</t>
  </si>
  <si>
    <t>Команда 5</t>
  </si>
  <si>
    <t>cs 2</t>
  </si>
  <si>
    <t>Mortal Kombat</t>
  </si>
  <si>
    <t>Приставка</t>
  </si>
  <si>
    <t>Матч 11</t>
  </si>
  <si>
    <t>Матч 12</t>
  </si>
  <si>
    <t>Матч 13</t>
  </si>
  <si>
    <t>Матч 14</t>
  </si>
  <si>
    <t>Матч 15</t>
  </si>
  <si>
    <t>Матч 16</t>
  </si>
  <si>
    <t>Матч 17</t>
  </si>
  <si>
    <t>Матч 18</t>
  </si>
  <si>
    <t>Матч 19</t>
  </si>
  <si>
    <t>Матч 20</t>
  </si>
  <si>
    <t>Матч 21</t>
  </si>
  <si>
    <t>Матч 22</t>
  </si>
  <si>
    <t>Матч 23</t>
  </si>
  <si>
    <t>Матч 24</t>
  </si>
  <si>
    <t>Матч 25</t>
  </si>
  <si>
    <t>Матч 26</t>
  </si>
  <si>
    <t>Матч 27</t>
  </si>
  <si>
    <t>Матч 28</t>
  </si>
  <si>
    <t>11:30-11:35</t>
  </si>
  <si>
    <t>11:35-11:40</t>
  </si>
  <si>
    <t>11:45-11:50</t>
  </si>
  <si>
    <t>11:55-12:00</t>
  </si>
  <si>
    <t>1</t>
  </si>
  <si>
    <t>2</t>
  </si>
  <si>
    <t>11:50-11:55</t>
  </si>
  <si>
    <t>12:05-12:10</t>
  </si>
  <si>
    <t>3</t>
  </si>
  <si>
    <t>4</t>
  </si>
  <si>
    <t>12:10-12:15</t>
  </si>
  <si>
    <t>FIFA</t>
  </si>
  <si>
    <t>10:15-10:35</t>
  </si>
  <si>
    <t>10:35-10:55</t>
  </si>
  <si>
    <t>10:55-11:15</t>
  </si>
  <si>
    <t>11:15-11:35</t>
  </si>
  <si>
    <t>11:35-11:55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</si>
</sst>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0"/>
      <name val="Arial"/>
      <family val="2"/>
      <charset val="204"/>
    </font>
    <font>
      <sz val="22"/>
      <color theme="1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5" borderId="5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2" fillId="6" borderId="5" xfId="0" applyNumberFormat="1" applyFont="1" applyFill="1" applyBorder="1" applyAlignment="1">
      <alignment horizontal="center"/>
    </xf>
    <xf numFmtId="49" fontId="2" fillId="3" borderId="14" xfId="0" applyNumberFormat="1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/>
    </xf>
    <xf numFmtId="49" fontId="2" fillId="3" borderId="16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5" borderId="14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/>
    </xf>
    <xf numFmtId="49" fontId="2" fillId="5" borderId="15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49" fontId="2" fillId="5" borderId="16" xfId="0" applyNumberFormat="1" applyFont="1" applyFill="1" applyBorder="1" applyAlignment="1">
      <alignment horizontal="center" vertical="center"/>
    </xf>
    <xf numFmtId="49" fontId="2" fillId="5" borderId="17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 wrapText="1"/>
    </xf>
    <xf numFmtId="0" fontId="4" fillId="14" borderId="13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49" fontId="2" fillId="3" borderId="1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4" fillId="14" borderId="20" xfId="0" applyFont="1" applyFill="1" applyBorder="1" applyAlignment="1">
      <alignment horizontal="center" vertical="center" wrapText="1"/>
    </xf>
    <xf numFmtId="0" fontId="4" fillId="14" borderId="21" xfId="0" applyFont="1" applyFill="1" applyBorder="1" applyAlignment="1">
      <alignment horizontal="center" vertical="center" wrapText="1"/>
    </xf>
    <xf numFmtId="0" fontId="4" fillId="14" borderId="22" xfId="0" applyFont="1" applyFill="1" applyBorder="1" applyAlignment="1">
      <alignment horizontal="center" vertical="center" wrapText="1"/>
    </xf>
    <xf numFmtId="0" fontId="4" fillId="14" borderId="23" xfId="0" applyFont="1" applyFill="1" applyBorder="1" applyAlignment="1">
      <alignment horizontal="center" vertical="center" wrapText="1"/>
    </xf>
    <xf numFmtId="0" fontId="4" fillId="14" borderId="24" xfId="0" applyFont="1" applyFill="1" applyBorder="1" applyAlignment="1">
      <alignment horizontal="center" vertical="center" wrapText="1"/>
    </xf>
    <xf numFmtId="0" fontId="4" fillId="14" borderId="20" xfId="0" applyFont="1" applyFill="1" applyBorder="1" applyAlignment="1">
      <alignment horizontal="center" vertical="center"/>
    </xf>
    <xf numFmtId="0" fontId="4" fillId="14" borderId="21" xfId="0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49" fontId="2" fillId="3" borderId="20" xfId="0" applyNumberFormat="1" applyFont="1" applyFill="1" applyBorder="1" applyAlignment="1">
      <alignment horizontal="center" vertical="center"/>
    </xf>
    <xf numFmtId="49" fontId="2" fillId="3" borderId="22" xfId="0" applyNumberFormat="1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horizontal="center" vertical="center"/>
    </xf>
    <xf numFmtId="49" fontId="2" fillId="6" borderId="20" xfId="0" applyNumberFormat="1" applyFont="1" applyFill="1" applyBorder="1" applyAlignment="1">
      <alignment horizontal="center" vertical="center"/>
    </xf>
    <xf numFmtId="49" fontId="2" fillId="6" borderId="22" xfId="0" applyNumberFormat="1" applyFont="1" applyFill="1" applyBorder="1" applyAlignment="1">
      <alignment horizontal="center" vertical="center"/>
    </xf>
    <xf numFmtId="49" fontId="2" fillId="6" borderId="23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center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5" borderId="20" xfId="0" applyNumberFormat="1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  <xf numFmtId="49" fontId="2" fillId="5" borderId="23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49" fontId="2" fillId="6" borderId="7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49" fontId="2" fillId="5" borderId="7" xfId="0" applyNumberFormat="1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49" fontId="2" fillId="17" borderId="15" xfId="0" applyNumberFormat="1" applyFont="1" applyFill="1" applyBorder="1" applyAlignment="1">
      <alignment horizontal="center" vertical="center"/>
    </xf>
    <xf numFmtId="49" fontId="2" fillId="17" borderId="2" xfId="0" applyNumberFormat="1" applyFont="1" applyFill="1" applyBorder="1" applyAlignment="1">
      <alignment horizontal="center"/>
    </xf>
    <xf numFmtId="0" fontId="2" fillId="18" borderId="3" xfId="0" applyFont="1" applyFill="1" applyBorder="1" applyAlignment="1">
      <alignment horizontal="center"/>
    </xf>
    <xf numFmtId="0" fontId="1" fillId="0" borderId="0" xfId="0" applyFont="1" applyFill="1"/>
    <xf numFmtId="0" fontId="2" fillId="4" borderId="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49" fontId="2" fillId="17" borderId="14" xfId="0" applyNumberFormat="1" applyFont="1" applyFill="1" applyBorder="1" applyAlignment="1">
      <alignment horizontal="center" vertical="center"/>
    </xf>
    <xf numFmtId="49" fontId="2" fillId="17" borderId="16" xfId="0" applyNumberFormat="1" applyFont="1" applyFill="1" applyBorder="1" applyAlignment="1">
      <alignment horizontal="center" vertical="center"/>
    </xf>
    <xf numFmtId="49" fontId="2" fillId="17" borderId="17" xfId="0" applyNumberFormat="1" applyFont="1" applyFill="1" applyBorder="1" applyAlignment="1">
      <alignment horizontal="center"/>
    </xf>
    <xf numFmtId="0" fontId="2" fillId="17" borderId="18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1" fillId="19" borderId="0" xfId="0" applyFont="1" applyFill="1"/>
    <xf numFmtId="0" fontId="1" fillId="13" borderId="0" xfId="0" applyFont="1" applyFill="1"/>
    <xf numFmtId="0" fontId="1" fillId="5" borderId="0" xfId="0" applyFont="1" applyFill="1"/>
    <xf numFmtId="0" fontId="1" fillId="2" borderId="0" xfId="0" applyFont="1" applyFill="1"/>
    <xf numFmtId="0" fontId="2" fillId="20" borderId="3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1" fillId="3" borderId="0" xfId="0" applyFont="1" applyFill="1"/>
    <xf numFmtId="0" fontId="1" fillId="20" borderId="0" xfId="0" applyFont="1" applyFill="1"/>
    <xf numFmtId="0" fontId="2" fillId="22" borderId="3" xfId="0" applyFont="1" applyFill="1" applyBorder="1" applyAlignment="1">
      <alignment horizontal="center"/>
    </xf>
    <xf numFmtId="0" fontId="1" fillId="23" borderId="0" xfId="0" applyFont="1" applyFill="1"/>
    <xf numFmtId="0" fontId="2" fillId="20" borderId="4" xfId="0" applyFont="1" applyFill="1" applyBorder="1" applyAlignment="1">
      <alignment horizontal="center"/>
    </xf>
    <xf numFmtId="0" fontId="2" fillId="20" borderId="19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F5FCF"/>
      <color rgb="FFC7A1E3"/>
      <color rgb="FFADADAD"/>
      <color rgb="FFFF3E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42;&#1054;&#1044;&#1053;&#1040;&#107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"/>
      <sheetName val="профсоюз"/>
      <sheetName val="Участники"/>
      <sheetName val="таблица 2"/>
      <sheetName val="Расписание 9-21"/>
      <sheetName val="Расписание 9-20"/>
      <sheetName val="Расписание (короткое)"/>
      <sheetName val="Справочник"/>
    </sheetNames>
    <sheetDataSet>
      <sheetData sheetId="0"/>
      <sheetData sheetId="1"/>
      <sheetData sheetId="2">
        <row r="13">
          <cell r="C13" t="str">
            <v>Команда 1</v>
          </cell>
          <cell r="D13" t="str">
            <v>LukTechPrime</v>
          </cell>
        </row>
        <row r="18">
          <cell r="C18" t="str">
            <v>Команда 2</v>
          </cell>
          <cell r="D18" t="str">
            <v>sqwoz_dust</v>
          </cell>
        </row>
        <row r="23">
          <cell r="C23" t="str">
            <v>Команда 3</v>
          </cell>
          <cell r="D23" t="str">
            <v>CSPerm</v>
          </cell>
        </row>
        <row r="29">
          <cell r="C29" t="str">
            <v>Команда 4</v>
          </cell>
          <cell r="D29" t="str">
            <v>Victory</v>
          </cell>
        </row>
        <row r="34">
          <cell r="C34" t="str">
            <v>Команда 5</v>
          </cell>
          <cell r="D34" t="str">
            <v>Широлапики</v>
          </cell>
        </row>
        <row r="49">
          <cell r="C49">
            <v>1</v>
          </cell>
          <cell r="D49" t="str">
            <v>Васина В.</v>
          </cell>
        </row>
        <row r="50">
          <cell r="C50">
            <v>2</v>
          </cell>
          <cell r="D50" t="str">
            <v>Изранцева В.</v>
          </cell>
        </row>
        <row r="51">
          <cell r="C51">
            <v>3</v>
          </cell>
          <cell r="D51" t="str">
            <v>Шайнога Б.</v>
          </cell>
        </row>
        <row r="52">
          <cell r="C52">
            <v>4</v>
          </cell>
          <cell r="D52" t="str">
            <v>Гуров И.</v>
          </cell>
        </row>
        <row r="53">
          <cell r="C53">
            <v>5</v>
          </cell>
          <cell r="D53" t="str">
            <v>Исаев Д.</v>
          </cell>
        </row>
        <row r="54">
          <cell r="C54">
            <v>6</v>
          </cell>
          <cell r="D54" t="str">
            <v>Неталиев А.</v>
          </cell>
        </row>
        <row r="55">
          <cell r="C55">
            <v>7</v>
          </cell>
          <cell r="D55" t="str">
            <v>Хасянов М.</v>
          </cell>
        </row>
        <row r="56">
          <cell r="C56">
            <v>8</v>
          </cell>
          <cell r="D56" t="str">
            <v>Чепендюк Е.</v>
          </cell>
        </row>
        <row r="57">
          <cell r="C57">
            <v>1</v>
          </cell>
          <cell r="D57" t="str">
            <v>Папичев Н.</v>
          </cell>
        </row>
        <row r="58">
          <cell r="C58">
            <v>2</v>
          </cell>
          <cell r="D58" t="str">
            <v>Шестаков Д.</v>
          </cell>
        </row>
        <row r="59">
          <cell r="C59">
            <v>3</v>
          </cell>
          <cell r="D59" t="str">
            <v>Овчинников И.</v>
          </cell>
        </row>
        <row r="60">
          <cell r="C60">
            <v>4</v>
          </cell>
          <cell r="D60" t="str">
            <v>Неталиев А.</v>
          </cell>
        </row>
        <row r="61">
          <cell r="C61">
            <v>5</v>
          </cell>
          <cell r="D61" t="str">
            <v>Хасянов М.</v>
          </cell>
        </row>
        <row r="62">
          <cell r="C62">
            <v>6</v>
          </cell>
          <cell r="D62" t="str">
            <v>Чепендюк Е.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tabSelected="1" topLeftCell="C28" zoomScale="115" zoomScaleNormal="115" workbookViewId="0">
      <selection activeCell="G48" sqref="G48"/>
    </sheetView>
  </sheetViews>
  <sheetFormatPr defaultRowHeight="14.25" x14ac:dyDescent="0.2"/>
  <cols>
    <col min="1" max="2" width="9.140625" style="1"/>
    <col min="3" max="3" width="14.7109375" style="1" bestFit="1" customWidth="1"/>
    <col min="4" max="4" width="13.140625" style="1" customWidth="1"/>
    <col min="5" max="5" width="15.7109375" style="1" bestFit="1" customWidth="1"/>
    <col min="6" max="6" width="15.85546875" style="1" bestFit="1" customWidth="1"/>
    <col min="7" max="7" width="15.7109375" style="1" bestFit="1" customWidth="1"/>
    <col min="8" max="8" width="11.28515625" style="1" bestFit="1" customWidth="1"/>
    <col min="9" max="16384" width="9.140625" style="1"/>
  </cols>
  <sheetData>
    <row r="1" spans="1:21" ht="15" thickBot="1" x14ac:dyDescent="0.25"/>
    <row r="2" spans="1:21" ht="16.5" thickBot="1" x14ac:dyDescent="0.3">
      <c r="A2" s="55" t="s">
        <v>24</v>
      </c>
      <c r="B2" s="56"/>
      <c r="C2" s="10" t="s">
        <v>10</v>
      </c>
      <c r="D2" s="11" t="s">
        <v>11</v>
      </c>
      <c r="E2" s="11" t="s">
        <v>12</v>
      </c>
      <c r="F2" s="12" t="s">
        <v>13</v>
      </c>
    </row>
    <row r="3" spans="1:21" ht="15" x14ac:dyDescent="0.2">
      <c r="A3" s="57"/>
      <c r="B3" s="42"/>
      <c r="C3" s="8" t="s">
        <v>14</v>
      </c>
      <c r="D3" s="9" t="s">
        <v>0</v>
      </c>
      <c r="E3" s="39" t="str">
        <f>VLOOKUP(G3,[1]Участники!$C$13:$D$38,2,0)</f>
        <v>LukTechPrime</v>
      </c>
      <c r="F3" s="81" t="str">
        <f>VLOOKUP(H3,[1]Участники!$C$13:$D$38,2,0)</f>
        <v>sqwoz_dust</v>
      </c>
      <c r="G3" s="1" t="s">
        <v>19</v>
      </c>
      <c r="H3" s="1" t="s">
        <v>20</v>
      </c>
    </row>
    <row r="4" spans="1:21" ht="15" x14ac:dyDescent="0.2">
      <c r="A4" s="57"/>
      <c r="B4" s="42"/>
      <c r="C4" s="2" t="s">
        <v>14</v>
      </c>
      <c r="D4" s="3" t="s">
        <v>1</v>
      </c>
      <c r="E4" s="72" t="str">
        <f>VLOOKUP(G4,[1]Участники!$C$13:$D$38,2,0)</f>
        <v>CSPerm</v>
      </c>
      <c r="F4" s="85" t="str">
        <f>VLOOKUP(H4,[1]Участники!$C$13:$D$38,2,0)</f>
        <v>Victory</v>
      </c>
      <c r="G4" s="1" t="s">
        <v>21</v>
      </c>
      <c r="H4" s="1" t="s">
        <v>22</v>
      </c>
    </row>
    <row r="5" spans="1:21" ht="15" x14ac:dyDescent="0.2">
      <c r="A5" s="57"/>
      <c r="B5" s="42"/>
      <c r="C5" s="6" t="s">
        <v>15</v>
      </c>
      <c r="D5" s="7" t="s">
        <v>2</v>
      </c>
      <c r="E5" s="73" t="str">
        <f>VLOOKUP(G5,[1]Участники!$C$13:$D$38,2,0)</f>
        <v>LukTechPrime</v>
      </c>
      <c r="F5" s="76" t="str">
        <f>VLOOKUP(H5,[1]Участники!$C$13:$D$38,2,0)</f>
        <v>CSPerm</v>
      </c>
      <c r="G5" s="1" t="s">
        <v>19</v>
      </c>
      <c r="H5" s="1" t="s">
        <v>21</v>
      </c>
    </row>
    <row r="6" spans="1:21" ht="15" x14ac:dyDescent="0.2">
      <c r="A6" s="57"/>
      <c r="B6" s="42"/>
      <c r="C6" s="6" t="s">
        <v>15</v>
      </c>
      <c r="D6" s="7" t="s">
        <v>3</v>
      </c>
      <c r="E6" s="82" t="str">
        <f>VLOOKUP(G6,[1]Участники!$C$13:$D$38,2,0)</f>
        <v>sqwoz_dust</v>
      </c>
      <c r="F6" s="83" t="str">
        <f>VLOOKUP(H6,[1]Участники!$C$13:$D$38,2,0)</f>
        <v>Широлапики</v>
      </c>
      <c r="G6" s="1" t="s">
        <v>20</v>
      </c>
      <c r="H6" s="1" t="s">
        <v>23</v>
      </c>
    </row>
    <row r="7" spans="1:21" ht="15" x14ac:dyDescent="0.2">
      <c r="A7" s="57"/>
      <c r="B7" s="42"/>
      <c r="C7" s="2" t="s">
        <v>16</v>
      </c>
      <c r="D7" s="3" t="s">
        <v>4</v>
      </c>
      <c r="E7" s="73" t="str">
        <f>VLOOKUP(G7,[1]Участники!$C$13:$D$38,2,0)</f>
        <v>LukTechPrime</v>
      </c>
      <c r="F7" s="85" t="str">
        <f>VLOOKUP(H7,[1]Участники!$C$13:$D$38,2,0)</f>
        <v>Victory</v>
      </c>
      <c r="G7" s="1" t="s">
        <v>19</v>
      </c>
      <c r="H7" s="1" t="s">
        <v>22</v>
      </c>
    </row>
    <row r="8" spans="1:21" ht="15" x14ac:dyDescent="0.2">
      <c r="A8" s="57"/>
      <c r="B8" s="42"/>
      <c r="C8" s="2" t="s">
        <v>16</v>
      </c>
      <c r="D8" s="3" t="s">
        <v>5</v>
      </c>
      <c r="E8" s="72" t="str">
        <f>VLOOKUP(G8,[1]Участники!$C$13:$D$38,2,0)</f>
        <v>CSPerm</v>
      </c>
      <c r="F8" s="83" t="str">
        <f>VLOOKUP(H8,[1]Участники!$C$13:$D$38,2,0)</f>
        <v>Широлапики</v>
      </c>
      <c r="G8" s="1" t="s">
        <v>21</v>
      </c>
      <c r="H8" s="1" t="s">
        <v>23</v>
      </c>
    </row>
    <row r="9" spans="1:21" ht="15" x14ac:dyDescent="0.2">
      <c r="A9" s="57"/>
      <c r="B9" s="42"/>
      <c r="C9" s="6" t="s">
        <v>17</v>
      </c>
      <c r="D9" s="7" t="s">
        <v>6</v>
      </c>
      <c r="E9" s="73" t="str">
        <f>VLOOKUP(G9,[1]Участники!$C$13:$D$38,2,0)</f>
        <v>LukTechPrime</v>
      </c>
      <c r="F9" s="83" t="str">
        <f>VLOOKUP(H9,[1]Участники!$C$13:$D$38,2,0)</f>
        <v>Широлапики</v>
      </c>
      <c r="G9" s="1" t="s">
        <v>19</v>
      </c>
      <c r="H9" s="1" t="s">
        <v>23</v>
      </c>
    </row>
    <row r="10" spans="1:21" ht="15" x14ac:dyDescent="0.2">
      <c r="A10" s="57"/>
      <c r="B10" s="42"/>
      <c r="C10" s="6" t="s">
        <v>17</v>
      </c>
      <c r="D10" s="7" t="s">
        <v>7</v>
      </c>
      <c r="E10" s="82" t="str">
        <f>VLOOKUP(G10,[1]Участники!$C$13:$D$38,2,0)</f>
        <v>sqwoz_dust</v>
      </c>
      <c r="F10" s="85" t="str">
        <f>VLOOKUP(H10,[1]Участники!$C$13:$D$38,2,0)</f>
        <v>Victory</v>
      </c>
      <c r="G10" s="1" t="s">
        <v>20</v>
      </c>
      <c r="H10" s="1" t="s">
        <v>22</v>
      </c>
    </row>
    <row r="11" spans="1:21" ht="15" x14ac:dyDescent="0.2">
      <c r="A11" s="57"/>
      <c r="B11" s="42"/>
      <c r="C11" s="2" t="s">
        <v>18</v>
      </c>
      <c r="D11" s="3" t="s">
        <v>8</v>
      </c>
      <c r="E11" s="82" t="str">
        <f>VLOOKUP(G11,[1]Участники!$C$13:$D$38,2,0)</f>
        <v>sqwoz_dust</v>
      </c>
      <c r="F11" s="76" t="str">
        <f>VLOOKUP(H11,[1]Участники!$C$13:$D$38,2,0)</f>
        <v>CSPerm</v>
      </c>
      <c r="G11" s="1" t="s">
        <v>20</v>
      </c>
      <c r="H11" s="1" t="s">
        <v>21</v>
      </c>
    </row>
    <row r="12" spans="1:21" ht="15.75" thickBot="1" x14ac:dyDescent="0.25">
      <c r="A12" s="58"/>
      <c r="B12" s="59"/>
      <c r="C12" s="4" t="s">
        <v>18</v>
      </c>
      <c r="D12" s="5" t="s">
        <v>9</v>
      </c>
      <c r="E12" s="79" t="str">
        <f>VLOOKUP(G12,[1]Участники!$C$13:$D$38,2,0)</f>
        <v>Victory</v>
      </c>
      <c r="F12" s="84" t="str">
        <f>VLOOKUP(H12,[1]Участники!$C$13:$D$38,2,0)</f>
        <v>Широлапики</v>
      </c>
      <c r="G12" s="1" t="s">
        <v>22</v>
      </c>
      <c r="H12" s="1" t="s">
        <v>23</v>
      </c>
      <c r="K12" s="90"/>
      <c r="L12" s="90"/>
      <c r="M12" s="90"/>
    </row>
    <row r="13" spans="1:21" ht="15" thickBot="1" x14ac:dyDescent="0.25">
      <c r="M13" s="90"/>
      <c r="N13" s="90"/>
      <c r="O13" s="90"/>
      <c r="P13" s="90"/>
      <c r="Q13" s="90"/>
      <c r="R13" s="90"/>
      <c r="S13" s="90"/>
      <c r="T13" s="90"/>
      <c r="U13" s="90"/>
    </row>
    <row r="14" spans="1:21" ht="16.5" customHeight="1" thickBot="1" x14ac:dyDescent="0.3">
      <c r="A14" s="50" t="s">
        <v>25</v>
      </c>
      <c r="B14" s="51"/>
      <c r="C14" s="10" t="s">
        <v>26</v>
      </c>
      <c r="D14" s="10" t="s">
        <v>10</v>
      </c>
      <c r="E14" s="11" t="s">
        <v>11</v>
      </c>
      <c r="F14" s="11" t="s">
        <v>12</v>
      </c>
      <c r="G14" s="12" t="s">
        <v>13</v>
      </c>
      <c r="M14" s="90"/>
      <c r="N14" s="90"/>
      <c r="O14" s="90"/>
      <c r="P14" s="90"/>
      <c r="Q14" s="90"/>
      <c r="R14" s="90"/>
      <c r="S14" s="90"/>
      <c r="T14" s="90"/>
      <c r="U14" s="90"/>
    </row>
    <row r="15" spans="1:21" ht="15.75" customHeight="1" thickBot="1" x14ac:dyDescent="0.25">
      <c r="A15" s="52"/>
      <c r="B15" s="44"/>
      <c r="C15" s="60" t="s">
        <v>49</v>
      </c>
      <c r="D15" s="16" t="s">
        <v>45</v>
      </c>
      <c r="E15" s="13" t="s">
        <v>0</v>
      </c>
      <c r="F15" s="102" t="str">
        <f>VLOOKUP(H15,[1]Участники!$C$49:$D$562,2,0)</f>
        <v>Васина В.</v>
      </c>
      <c r="G15" s="103" t="str">
        <f>VLOOKUP(I15,[1]Участники!$C$49:$D$562,2,0)</f>
        <v>Чепендюк Е.</v>
      </c>
      <c r="H15" s="100">
        <v>1</v>
      </c>
      <c r="I15" s="100">
        <v>8</v>
      </c>
      <c r="M15" s="90"/>
      <c r="P15" s="90"/>
      <c r="S15" s="90"/>
    </row>
    <row r="16" spans="1:21" ht="16.5" customHeight="1" thickBot="1" x14ac:dyDescent="0.25">
      <c r="A16" s="52"/>
      <c r="B16" s="44"/>
      <c r="C16" s="61"/>
      <c r="D16" s="74" t="s">
        <v>46</v>
      </c>
      <c r="E16" s="7" t="s">
        <v>1</v>
      </c>
      <c r="F16" s="102" t="str">
        <f>VLOOKUP(H16,[1]Участники!$C$49:$D$562,2,0)</f>
        <v>Васина В.</v>
      </c>
      <c r="G16" s="39" t="str">
        <f>VLOOKUP(I16,[1]Участники!$C$49:$D$562,2,0)</f>
        <v>Хасянов М.</v>
      </c>
      <c r="H16" s="100">
        <v>1</v>
      </c>
      <c r="I16" s="100">
        <v>7</v>
      </c>
      <c r="M16" s="90"/>
      <c r="P16" s="90"/>
      <c r="S16" s="90"/>
    </row>
    <row r="17" spans="1:23" ht="16.5" customHeight="1" thickBot="1" x14ac:dyDescent="0.25">
      <c r="A17" s="52"/>
      <c r="B17" s="44"/>
      <c r="C17" s="61"/>
      <c r="D17" s="74" t="s">
        <v>47</v>
      </c>
      <c r="E17" s="7" t="s">
        <v>2</v>
      </c>
      <c r="F17" s="102" t="str">
        <f>VLOOKUP(H17,[1]Участники!$C$49:$D$562,2,0)</f>
        <v>Васина В.</v>
      </c>
      <c r="G17" s="34" t="str">
        <f>VLOOKUP(I17,[1]Участники!$C$49:$D$562,2,0)</f>
        <v>Изранцева В.</v>
      </c>
      <c r="H17" s="100">
        <v>1</v>
      </c>
      <c r="I17" s="100">
        <v>2</v>
      </c>
      <c r="M17" s="90"/>
      <c r="P17" s="90"/>
      <c r="S17" s="90"/>
    </row>
    <row r="18" spans="1:23" ht="16.5" customHeight="1" thickBot="1" x14ac:dyDescent="0.25">
      <c r="A18" s="52"/>
      <c r="B18" s="44"/>
      <c r="C18" s="61"/>
      <c r="D18" s="74" t="s">
        <v>51</v>
      </c>
      <c r="E18" s="7" t="s">
        <v>3</v>
      </c>
      <c r="F18" s="34" t="str">
        <f>VLOOKUP(H18,[1]Участники!$C$49:$D$562,2,0)</f>
        <v>Изранцева В.</v>
      </c>
      <c r="G18" s="35" t="str">
        <f>VLOOKUP(I18,[1]Участники!$C$49:$D$562,2,0)</f>
        <v>Исаев Д.</v>
      </c>
      <c r="H18" s="100">
        <v>2</v>
      </c>
      <c r="I18" s="100">
        <v>5</v>
      </c>
      <c r="K18" s="90">
        <v>1</v>
      </c>
      <c r="L18" s="90">
        <v>3</v>
      </c>
      <c r="M18" s="90">
        <v>2</v>
      </c>
      <c r="N18" s="90"/>
      <c r="O18" s="90"/>
      <c r="P18" s="90"/>
      <c r="Q18" s="90"/>
      <c r="R18" s="90"/>
      <c r="S18" s="90"/>
      <c r="T18" s="90"/>
      <c r="U18" s="90"/>
    </row>
    <row r="19" spans="1:23" ht="16.5" customHeight="1" thickBot="1" x14ac:dyDescent="0.25">
      <c r="A19" s="52"/>
      <c r="B19" s="44"/>
      <c r="C19" s="61"/>
      <c r="D19" s="74" t="s">
        <v>48</v>
      </c>
      <c r="E19" s="7" t="s">
        <v>4</v>
      </c>
      <c r="F19" s="34" t="str">
        <f>VLOOKUP(H19,[1]Участники!$C$49:$D$562,2,0)</f>
        <v>Изранцева В.</v>
      </c>
      <c r="G19" s="37" t="str">
        <f>VLOOKUP(I19,[1]Участники!$C$49:$D$562,2,0)</f>
        <v>Неталиев А.</v>
      </c>
      <c r="H19" s="100">
        <v>2</v>
      </c>
      <c r="I19" s="100">
        <v>6</v>
      </c>
      <c r="K19" s="1">
        <v>2</v>
      </c>
      <c r="L19" s="1">
        <v>3</v>
      </c>
      <c r="M19" s="90">
        <v>2</v>
      </c>
      <c r="P19" s="90"/>
      <c r="S19" s="90"/>
    </row>
    <row r="20" spans="1:23" ht="16.5" customHeight="1" thickBot="1" x14ac:dyDescent="0.25">
      <c r="A20" s="52"/>
      <c r="B20" s="44"/>
      <c r="C20" s="61"/>
      <c r="D20" s="74" t="s">
        <v>52</v>
      </c>
      <c r="E20" s="7" t="s">
        <v>5</v>
      </c>
      <c r="F20" s="89" t="str">
        <f>VLOOKUP(H20,[1]Участники!$C$49:$D$562,2,0)</f>
        <v>Гуров И.</v>
      </c>
      <c r="G20" s="37" t="str">
        <f>VLOOKUP(I20,[1]Участники!$C$49:$D$562,2,0)</f>
        <v>Неталиев А.</v>
      </c>
      <c r="H20" s="100">
        <v>4</v>
      </c>
      <c r="I20" s="100">
        <v>6</v>
      </c>
      <c r="K20" s="1">
        <v>3</v>
      </c>
      <c r="L20" s="1">
        <v>3</v>
      </c>
      <c r="M20" s="90">
        <v>2</v>
      </c>
      <c r="P20" s="90"/>
      <c r="S20" s="90"/>
    </row>
    <row r="21" spans="1:23" ht="16.5" customHeight="1" thickBot="1" x14ac:dyDescent="0.25">
      <c r="A21" s="52"/>
      <c r="B21" s="44"/>
      <c r="C21" s="62"/>
      <c r="D21" s="75" t="s">
        <v>55</v>
      </c>
      <c r="E21" s="48" t="s">
        <v>6</v>
      </c>
      <c r="F21" s="89" t="str">
        <f>VLOOKUP(H21,[1]Участники!$C$49:$D$562,2,0)</f>
        <v>Гуров И.</v>
      </c>
      <c r="G21" s="102" t="str">
        <f>VLOOKUP(I21,[1]Участники!$C$49:$D$562,2,0)</f>
        <v>Васина В.</v>
      </c>
      <c r="H21" s="100">
        <v>4</v>
      </c>
      <c r="I21" s="100">
        <v>1</v>
      </c>
      <c r="K21" s="1">
        <v>4</v>
      </c>
      <c r="L21" s="1">
        <v>3</v>
      </c>
      <c r="M21" s="90">
        <v>2</v>
      </c>
      <c r="P21" s="90"/>
      <c r="S21" s="90"/>
    </row>
    <row r="22" spans="1:23" ht="15.75" customHeight="1" thickBot="1" x14ac:dyDescent="0.25">
      <c r="A22" s="52"/>
      <c r="B22" s="44"/>
      <c r="C22" s="63" t="s">
        <v>50</v>
      </c>
      <c r="D22" s="23" t="s">
        <v>45</v>
      </c>
      <c r="E22" s="24" t="s">
        <v>7</v>
      </c>
      <c r="F22" s="35" t="str">
        <f>VLOOKUP(H22,[1]Участники!$C$49:$D$562,2,0)</f>
        <v>Исаев Д.</v>
      </c>
      <c r="G22" s="89" t="str">
        <f>VLOOKUP(I22,[1]Участники!$C$49:$D$562,2,0)</f>
        <v>Гуров И.</v>
      </c>
      <c r="H22" s="98">
        <v>5</v>
      </c>
      <c r="I22" s="98">
        <v>4</v>
      </c>
      <c r="K22" s="1">
        <v>5</v>
      </c>
      <c r="L22" s="1">
        <v>3</v>
      </c>
      <c r="M22" s="90"/>
      <c r="P22" s="90"/>
      <c r="S22" s="90"/>
    </row>
    <row r="23" spans="1:23" ht="15.75" customHeight="1" thickBot="1" x14ac:dyDescent="0.25">
      <c r="A23" s="52"/>
      <c r="B23" s="44"/>
      <c r="C23" s="64"/>
      <c r="D23" s="19" t="s">
        <v>46</v>
      </c>
      <c r="E23" s="15" t="s">
        <v>8</v>
      </c>
      <c r="F23" s="34" t="str">
        <f>VLOOKUP(H23,[1]Участники!$C$49:$D$562,2,0)</f>
        <v>Изранцева В.</v>
      </c>
      <c r="G23" s="89" t="str">
        <f>VLOOKUP(I23,[1]Участники!$C$49:$D$562,2,0)</f>
        <v>Гуров И.</v>
      </c>
      <c r="H23" s="98">
        <v>2</v>
      </c>
      <c r="I23" s="98">
        <v>4</v>
      </c>
      <c r="K23" s="1">
        <v>6</v>
      </c>
      <c r="L23" s="1">
        <v>3</v>
      </c>
      <c r="M23" s="90">
        <v>2</v>
      </c>
      <c r="P23" s="90"/>
      <c r="S23" s="90"/>
      <c r="W23" s="1" t="e">
        <f>SUM(#REF!)</f>
        <v>#REF!</v>
      </c>
    </row>
    <row r="24" spans="1:23" ht="15.75" customHeight="1" thickBot="1" x14ac:dyDescent="0.25">
      <c r="A24" s="52"/>
      <c r="B24" s="44"/>
      <c r="C24" s="64"/>
      <c r="D24" s="19" t="s">
        <v>47</v>
      </c>
      <c r="E24" s="15" t="s">
        <v>9</v>
      </c>
      <c r="F24" s="33" t="str">
        <f>VLOOKUP(H24,[1]Участники!$C$49:$D$562,2,0)</f>
        <v>Шайнога Б.</v>
      </c>
      <c r="G24" s="89" t="str">
        <f>VLOOKUP(I24,[1]Участники!$C$49:$D$562,2,0)</f>
        <v>Гуров И.</v>
      </c>
      <c r="H24" s="98">
        <v>3</v>
      </c>
      <c r="I24" s="98">
        <v>4</v>
      </c>
      <c r="K24" s="1">
        <v>7</v>
      </c>
      <c r="L24" s="1">
        <v>3</v>
      </c>
      <c r="M24" s="90"/>
      <c r="P24" s="90"/>
      <c r="S24" s="90"/>
      <c r="W24" s="1" t="e">
        <f>SUM(#REF!)</f>
        <v>#REF!</v>
      </c>
    </row>
    <row r="25" spans="1:23" ht="15.75" thickBot="1" x14ac:dyDescent="0.25">
      <c r="A25" s="52"/>
      <c r="B25" s="44"/>
      <c r="C25" s="64"/>
      <c r="D25" s="19" t="s">
        <v>51</v>
      </c>
      <c r="E25" s="15" t="s">
        <v>27</v>
      </c>
      <c r="F25" s="102" t="str">
        <f>VLOOKUP(H25,[1]Участники!$C$49:$D$562,2,0)</f>
        <v>Васина В.</v>
      </c>
      <c r="G25" s="37" t="str">
        <f>VLOOKUP(I25,[1]Участники!$C$49:$D$562,2,0)</f>
        <v>Неталиев А.</v>
      </c>
      <c r="H25" s="98">
        <v>1</v>
      </c>
      <c r="I25" s="98">
        <v>6</v>
      </c>
      <c r="K25" s="1">
        <v>8</v>
      </c>
      <c r="L25" s="1">
        <v>3</v>
      </c>
      <c r="M25" s="90"/>
      <c r="P25" s="90"/>
      <c r="S25" s="90"/>
      <c r="W25" s="1" t="e">
        <f>SUM(#REF!)</f>
        <v>#REF!</v>
      </c>
    </row>
    <row r="26" spans="1:23" ht="15.75" thickBot="1" x14ac:dyDescent="0.25">
      <c r="A26" s="52"/>
      <c r="B26" s="44"/>
      <c r="C26" s="64"/>
      <c r="D26" s="19" t="s">
        <v>48</v>
      </c>
      <c r="E26" s="15" t="s">
        <v>28</v>
      </c>
      <c r="F26" s="102" t="str">
        <f>VLOOKUP(H26,[1]Участники!$C$49:$D$562,2,0)</f>
        <v>Васина В.</v>
      </c>
      <c r="G26" s="33" t="str">
        <f>VLOOKUP(I26,[1]Участники!$C$49:$D$562,2,0)</f>
        <v>Шайнога Б.</v>
      </c>
      <c r="H26" s="98">
        <v>1</v>
      </c>
      <c r="I26" s="98">
        <v>3</v>
      </c>
      <c r="K26" s="90"/>
      <c r="L26" s="90"/>
      <c r="M26" s="90"/>
      <c r="T26" s="90"/>
      <c r="U26" s="90"/>
      <c r="W26" s="1" t="e">
        <f>SUM(#REF!)</f>
        <v>#REF!</v>
      </c>
    </row>
    <row r="27" spans="1:23" ht="15.75" thickBot="1" x14ac:dyDescent="0.25">
      <c r="A27" s="52"/>
      <c r="B27" s="44"/>
      <c r="C27" s="64"/>
      <c r="D27" s="19" t="s">
        <v>52</v>
      </c>
      <c r="E27" s="15" t="s">
        <v>29</v>
      </c>
      <c r="F27" s="39" t="str">
        <f>VLOOKUP(H27,[1]Участники!$C$49:$D$562,2,0)</f>
        <v>Хасянов М.</v>
      </c>
      <c r="G27" s="33" t="str">
        <f>VLOOKUP(I27,[1]Участники!$C$49:$D$562,2,0)</f>
        <v>Шайнога Б.</v>
      </c>
      <c r="H27" s="98">
        <v>7</v>
      </c>
      <c r="I27" s="98">
        <v>3</v>
      </c>
      <c r="W27" s="1" t="e">
        <f>SUM(#REF!)</f>
        <v>#REF!</v>
      </c>
    </row>
    <row r="28" spans="1:23" ht="15.75" thickBot="1" x14ac:dyDescent="0.25">
      <c r="A28" s="52"/>
      <c r="B28" s="44"/>
      <c r="C28" s="65"/>
      <c r="D28" s="77" t="s">
        <v>55</v>
      </c>
      <c r="E28" s="46" t="s">
        <v>30</v>
      </c>
      <c r="F28" s="37" t="str">
        <f>VLOOKUP(H28,[1]Участники!$C$49:$D$562,2,0)</f>
        <v>Неталиев А.</v>
      </c>
      <c r="G28" s="33" t="str">
        <f>VLOOKUP(I28,[1]Участники!$C$49:$D$562,2,0)</f>
        <v>Шайнога Б.</v>
      </c>
      <c r="H28" s="98">
        <v>6</v>
      </c>
      <c r="I28" s="98">
        <v>3</v>
      </c>
      <c r="W28" s="1" t="e">
        <f>SUM(#REF!)</f>
        <v>#REF!</v>
      </c>
    </row>
    <row r="29" spans="1:23" ht="15.75" thickBot="1" x14ac:dyDescent="0.25">
      <c r="A29" s="52"/>
      <c r="B29" s="44"/>
      <c r="C29" s="66" t="s">
        <v>53</v>
      </c>
      <c r="D29" s="25" t="s">
        <v>45</v>
      </c>
      <c r="E29" s="9" t="s">
        <v>31</v>
      </c>
      <c r="F29" s="33" t="str">
        <f>VLOOKUP(H29,[1]Участники!$C$49:$D$562,2,0)</f>
        <v>Шайнога Б.</v>
      </c>
      <c r="G29" s="34" t="str">
        <f>VLOOKUP(I29,[1]Участники!$C$49:$D$562,2,0)</f>
        <v>Изранцева В.</v>
      </c>
      <c r="H29" s="99">
        <v>3</v>
      </c>
      <c r="I29" s="99">
        <v>2</v>
      </c>
      <c r="K29" s="105">
        <v>1</v>
      </c>
      <c r="L29" s="90">
        <v>8</v>
      </c>
      <c r="M29" s="90"/>
      <c r="N29" s="90">
        <v>5</v>
      </c>
      <c r="O29" s="90">
        <v>4</v>
      </c>
      <c r="P29" s="90"/>
      <c r="Q29" s="90">
        <v>3</v>
      </c>
      <c r="R29" s="90">
        <v>2</v>
      </c>
      <c r="S29" s="90"/>
      <c r="T29" s="90">
        <v>7</v>
      </c>
      <c r="U29" s="90">
        <v>6</v>
      </c>
      <c r="W29" s="1" t="e">
        <f>SUM(#REF!)</f>
        <v>#REF!</v>
      </c>
    </row>
    <row r="30" spans="1:23" ht="15.75" thickBot="1" x14ac:dyDescent="0.25">
      <c r="A30" s="52"/>
      <c r="B30" s="44"/>
      <c r="C30" s="67"/>
      <c r="D30" s="18" t="s">
        <v>46</v>
      </c>
      <c r="E30" s="3" t="s">
        <v>32</v>
      </c>
      <c r="F30" s="33" t="str">
        <f>VLOOKUP(H30,[1]Участники!$C$49:$D$562,2,0)</f>
        <v>Шайнога Б.</v>
      </c>
      <c r="G30" s="106" t="str">
        <f>VLOOKUP(I30,[1]Участники!$C$49:$D$562,2,0)</f>
        <v>Исаев Д.</v>
      </c>
      <c r="H30" s="99">
        <v>3</v>
      </c>
      <c r="I30" s="99">
        <v>5</v>
      </c>
      <c r="K30" s="105">
        <v>1</v>
      </c>
      <c r="L30" s="90">
        <v>7</v>
      </c>
      <c r="M30" s="90"/>
      <c r="N30" s="90">
        <v>2</v>
      </c>
      <c r="O30" s="90">
        <v>4</v>
      </c>
      <c r="P30" s="90"/>
      <c r="Q30" s="90">
        <v>3</v>
      </c>
      <c r="R30" s="90">
        <v>5</v>
      </c>
      <c r="S30" s="90"/>
      <c r="T30" s="90">
        <v>8</v>
      </c>
      <c r="U30" s="90">
        <v>6</v>
      </c>
    </row>
    <row r="31" spans="1:23" ht="15.75" thickBot="1" x14ac:dyDescent="0.25">
      <c r="A31" s="52"/>
      <c r="B31" s="44"/>
      <c r="C31" s="67"/>
      <c r="D31" s="18" t="s">
        <v>47</v>
      </c>
      <c r="E31" s="3" t="s">
        <v>33</v>
      </c>
      <c r="F31" s="39" t="str">
        <f>VLOOKUP(H31,[1]Участники!$C$49:$D$562,2,0)</f>
        <v>Хасянов М.</v>
      </c>
      <c r="G31" s="103" t="str">
        <f>VLOOKUP(I31,[1]Участники!$C$49:$D$562,2,0)</f>
        <v>Чепендюк Е.</v>
      </c>
      <c r="H31" s="99">
        <v>7</v>
      </c>
      <c r="I31" s="99">
        <v>8</v>
      </c>
      <c r="K31" s="105">
        <v>1</v>
      </c>
      <c r="L31" s="100">
        <v>2</v>
      </c>
      <c r="M31" s="90"/>
      <c r="N31" s="90">
        <v>3</v>
      </c>
      <c r="O31" s="90">
        <v>4</v>
      </c>
      <c r="P31" s="90"/>
      <c r="Q31" s="90">
        <v>7</v>
      </c>
      <c r="R31" s="90">
        <v>8</v>
      </c>
      <c r="S31" s="90"/>
      <c r="T31" s="90">
        <v>5</v>
      </c>
      <c r="U31" s="90">
        <v>6</v>
      </c>
    </row>
    <row r="32" spans="1:23" ht="15.75" thickBot="1" x14ac:dyDescent="0.25">
      <c r="A32" s="52"/>
      <c r="B32" s="44"/>
      <c r="C32" s="67"/>
      <c r="D32" s="18" t="s">
        <v>51</v>
      </c>
      <c r="E32" s="3" t="s">
        <v>34</v>
      </c>
      <c r="F32" s="39" t="str">
        <f>VLOOKUP(H32,[1]Участники!$C$49:$D$562,2,0)</f>
        <v>Хасянов М.</v>
      </c>
      <c r="G32" s="89" t="str">
        <f>VLOOKUP(I32,[1]Участники!$C$49:$D$562,2,0)</f>
        <v>Гуров И.</v>
      </c>
      <c r="H32" s="99">
        <v>7</v>
      </c>
      <c r="I32" s="99">
        <v>4</v>
      </c>
      <c r="K32" s="100">
        <v>2</v>
      </c>
      <c r="L32" s="90">
        <v>5</v>
      </c>
      <c r="M32" s="90"/>
      <c r="N32" s="90">
        <v>1</v>
      </c>
      <c r="O32" s="90">
        <v>6</v>
      </c>
      <c r="Q32" s="90">
        <v>7</v>
      </c>
      <c r="R32" s="90">
        <v>4</v>
      </c>
      <c r="T32" s="90">
        <v>8</v>
      </c>
      <c r="U32" s="90">
        <v>3</v>
      </c>
    </row>
    <row r="33" spans="1:21" ht="15.75" thickBot="1" x14ac:dyDescent="0.25">
      <c r="A33" s="52"/>
      <c r="B33" s="44"/>
      <c r="C33" s="67"/>
      <c r="D33" s="18" t="s">
        <v>48</v>
      </c>
      <c r="E33" s="3" t="s">
        <v>35</v>
      </c>
      <c r="F33" s="39" t="str">
        <f>VLOOKUP(H33,[1]Участники!$C$49:$D$562,2,0)</f>
        <v>Хасянов М.</v>
      </c>
      <c r="G33" s="35" t="str">
        <f>VLOOKUP(I33,[1]Участники!$C$49:$D$562,2,0)</f>
        <v>Исаев Д.</v>
      </c>
      <c r="H33" s="99">
        <v>7</v>
      </c>
      <c r="I33" s="99">
        <v>5</v>
      </c>
      <c r="K33" s="100">
        <v>2</v>
      </c>
      <c r="L33" s="90">
        <v>6</v>
      </c>
      <c r="M33" s="90"/>
      <c r="N33" s="90">
        <v>1</v>
      </c>
      <c r="O33" s="90">
        <v>3</v>
      </c>
      <c r="P33" s="90"/>
      <c r="Q33" s="90">
        <v>7</v>
      </c>
      <c r="R33" s="90">
        <v>5</v>
      </c>
      <c r="S33" s="90"/>
      <c r="T33" s="90">
        <v>8</v>
      </c>
      <c r="U33" s="90">
        <v>4</v>
      </c>
    </row>
    <row r="34" spans="1:21" ht="15.75" thickBot="1" x14ac:dyDescent="0.25">
      <c r="A34" s="52"/>
      <c r="B34" s="44"/>
      <c r="C34" s="67"/>
      <c r="D34" s="18" t="s">
        <v>52</v>
      </c>
      <c r="E34" s="3" t="s">
        <v>36</v>
      </c>
      <c r="F34" s="102" t="str">
        <f>VLOOKUP(H34,[1]Участники!$C$49:$D$562,2,0)</f>
        <v>Васина В.</v>
      </c>
      <c r="G34" s="35" t="str">
        <f>VLOOKUP(I34,[1]Участники!$C$49:$D$562,2,0)</f>
        <v>Исаев Д.</v>
      </c>
      <c r="H34" s="99">
        <v>1</v>
      </c>
      <c r="I34" s="99">
        <v>5</v>
      </c>
      <c r="K34" s="90">
        <v>4</v>
      </c>
      <c r="L34" s="90">
        <v>6</v>
      </c>
      <c r="M34" s="90"/>
      <c r="N34" s="90">
        <v>7</v>
      </c>
      <c r="O34" s="90">
        <v>3</v>
      </c>
      <c r="P34" s="90"/>
      <c r="Q34" s="90">
        <v>1</v>
      </c>
      <c r="R34" s="90">
        <v>5</v>
      </c>
      <c r="S34" s="90"/>
      <c r="T34" s="90">
        <v>8</v>
      </c>
      <c r="U34" s="100">
        <v>2</v>
      </c>
    </row>
    <row r="35" spans="1:21" ht="15.75" thickBot="1" x14ac:dyDescent="0.25">
      <c r="A35" s="52"/>
      <c r="B35" s="44"/>
      <c r="C35" s="68"/>
      <c r="D35" s="78" t="s">
        <v>55</v>
      </c>
      <c r="E35" s="5" t="s">
        <v>37</v>
      </c>
      <c r="F35" s="103" t="str">
        <f>VLOOKUP(H35,[1]Участники!$C$49:$D$562,2,0)</f>
        <v>Чепендюк Е.</v>
      </c>
      <c r="G35" s="35" t="str">
        <f>VLOOKUP(I35,[1]Участники!$C$49:$D$562,2,0)</f>
        <v>Исаев Д.</v>
      </c>
      <c r="H35" s="99">
        <v>8</v>
      </c>
      <c r="I35" s="99">
        <v>5</v>
      </c>
      <c r="K35" s="90">
        <v>4</v>
      </c>
      <c r="L35" s="90">
        <v>1</v>
      </c>
      <c r="M35" s="90"/>
      <c r="N35" s="90">
        <v>6</v>
      </c>
      <c r="O35" s="90">
        <v>3</v>
      </c>
      <c r="P35" s="90"/>
      <c r="Q35" s="90">
        <v>8</v>
      </c>
      <c r="R35" s="90">
        <v>5</v>
      </c>
      <c r="S35" s="90"/>
      <c r="T35" s="100">
        <v>2</v>
      </c>
      <c r="U35" s="90">
        <v>7</v>
      </c>
    </row>
    <row r="36" spans="1:21" ht="15.75" thickBot="1" x14ac:dyDescent="0.25">
      <c r="A36" s="52"/>
      <c r="B36" s="44"/>
      <c r="C36" s="69" t="s">
        <v>54</v>
      </c>
      <c r="D36" s="27" t="s">
        <v>45</v>
      </c>
      <c r="E36" s="29" t="s">
        <v>38</v>
      </c>
      <c r="F36" s="39" t="str">
        <f>VLOOKUP(H36,[1]Участники!$C$49:$D$562,2,0)</f>
        <v>Хасянов М.</v>
      </c>
      <c r="G36" s="37" t="str">
        <f>VLOOKUP(I36,[1]Участники!$C$49:$D$562,2,0)</f>
        <v>Неталиев А.</v>
      </c>
      <c r="H36" s="101">
        <v>7</v>
      </c>
      <c r="I36" s="101">
        <v>6</v>
      </c>
    </row>
    <row r="37" spans="1:21" ht="15.75" thickBot="1" x14ac:dyDescent="0.25">
      <c r="A37" s="52"/>
      <c r="B37" s="44"/>
      <c r="C37" s="70"/>
      <c r="D37" s="17" t="s">
        <v>46</v>
      </c>
      <c r="E37" s="14" t="s">
        <v>39</v>
      </c>
      <c r="F37" s="103" t="str">
        <f>VLOOKUP(H37,[1]Участники!$C$49:$D$562,2,0)</f>
        <v>Чепендюк Е.</v>
      </c>
      <c r="G37" s="37" t="str">
        <f>VLOOKUP(I37,[1]Участники!$C$49:$D$562,2,0)</f>
        <v>Неталиев А.</v>
      </c>
      <c r="H37" s="101">
        <v>8</v>
      </c>
      <c r="I37" s="101">
        <v>6</v>
      </c>
    </row>
    <row r="38" spans="1:21" ht="15.75" thickBot="1" x14ac:dyDescent="0.25">
      <c r="A38" s="52"/>
      <c r="B38" s="44"/>
      <c r="C38" s="70"/>
      <c r="D38" s="17" t="s">
        <v>47</v>
      </c>
      <c r="E38" s="14" t="s">
        <v>40</v>
      </c>
      <c r="F38" s="35" t="str">
        <f>VLOOKUP(H38,[1]Участники!$C$49:$D$562,2,0)</f>
        <v>Исаев Д.</v>
      </c>
      <c r="G38" s="37" t="str">
        <f>VLOOKUP(I38,[1]Участники!$C$49:$D$562,2,0)</f>
        <v>Неталиев А.</v>
      </c>
      <c r="H38" s="101">
        <v>5</v>
      </c>
      <c r="I38" s="101">
        <v>6</v>
      </c>
    </row>
    <row r="39" spans="1:21" ht="15.75" thickBot="1" x14ac:dyDescent="0.25">
      <c r="A39" s="52"/>
      <c r="B39" s="44"/>
      <c r="C39" s="70"/>
      <c r="D39" s="17" t="s">
        <v>51</v>
      </c>
      <c r="E39" s="14" t="s">
        <v>41</v>
      </c>
      <c r="F39" s="103" t="str">
        <f>VLOOKUP(H39,[1]Участники!$C$49:$D$562,2,0)</f>
        <v>Чепендюк Е.</v>
      </c>
      <c r="G39" s="33" t="str">
        <f>VLOOKUP(I39,[1]Участники!$C$49:$D$562,2,0)</f>
        <v>Шайнога Б.</v>
      </c>
      <c r="H39" s="101">
        <v>8</v>
      </c>
      <c r="I39" s="101">
        <v>3</v>
      </c>
    </row>
    <row r="40" spans="1:21" ht="15.75" thickBot="1" x14ac:dyDescent="0.25">
      <c r="A40" s="52"/>
      <c r="B40" s="44"/>
      <c r="C40" s="70"/>
      <c r="D40" s="17" t="s">
        <v>48</v>
      </c>
      <c r="E40" s="14" t="s">
        <v>42</v>
      </c>
      <c r="F40" s="103" t="str">
        <f>VLOOKUP(H40,[1]Участники!$C$49:$D$562,2,0)</f>
        <v>Чепендюк Е.</v>
      </c>
      <c r="G40" s="89" t="str">
        <f>VLOOKUP(I40,[1]Участники!$C$49:$D$562,2,0)</f>
        <v>Гуров И.</v>
      </c>
      <c r="H40" s="101">
        <v>8</v>
      </c>
      <c r="I40" s="101">
        <v>4</v>
      </c>
    </row>
    <row r="41" spans="1:21" ht="15.75" thickBot="1" x14ac:dyDescent="0.25">
      <c r="A41" s="52"/>
      <c r="B41" s="44"/>
      <c r="C41" s="70"/>
      <c r="D41" s="17" t="s">
        <v>52</v>
      </c>
      <c r="E41" s="14" t="s">
        <v>43</v>
      </c>
      <c r="F41" s="103" t="str">
        <f>VLOOKUP(H41,[1]Участники!$C$49:$D$562,2,0)</f>
        <v>Чепендюк Е.</v>
      </c>
      <c r="G41" s="34" t="str">
        <f>VLOOKUP(I41,[1]Участники!$C$49:$D$562,2,0)</f>
        <v>Изранцева В.</v>
      </c>
      <c r="H41" s="101">
        <v>8</v>
      </c>
      <c r="I41" s="101">
        <v>2</v>
      </c>
      <c r="K41" s="107">
        <v>3</v>
      </c>
      <c r="L41" s="107">
        <v>4</v>
      </c>
      <c r="N41" s="107">
        <v>1</v>
      </c>
      <c r="O41" s="107">
        <v>6</v>
      </c>
      <c r="Q41" s="107">
        <v>2</v>
      </c>
      <c r="R41" s="107">
        <v>5</v>
      </c>
    </row>
    <row r="42" spans="1:21" ht="15.75" thickBot="1" x14ac:dyDescent="0.25">
      <c r="A42" s="53"/>
      <c r="B42" s="54"/>
      <c r="C42" s="71"/>
      <c r="D42" s="80" t="s">
        <v>55</v>
      </c>
      <c r="E42" s="32" t="s">
        <v>44</v>
      </c>
      <c r="F42" s="34" t="str">
        <f>VLOOKUP(H42,[1]Участники!$C$49:$D$562,2,0)</f>
        <v>Изранцева В.</v>
      </c>
      <c r="G42" s="39" t="str">
        <f>VLOOKUP(I42,[1]Участники!$C$49:$D$562,2,0)</f>
        <v>Хасянов М.</v>
      </c>
      <c r="H42" s="101">
        <v>2</v>
      </c>
      <c r="I42" s="101">
        <v>7</v>
      </c>
      <c r="K42" s="107">
        <v>3</v>
      </c>
      <c r="L42" s="107">
        <v>6</v>
      </c>
      <c r="N42" s="107">
        <v>1</v>
      </c>
      <c r="O42" s="107">
        <v>5</v>
      </c>
      <c r="Q42" s="107">
        <v>2</v>
      </c>
      <c r="R42" s="107">
        <v>4</v>
      </c>
    </row>
    <row r="43" spans="1:21" ht="15" thickBot="1" x14ac:dyDescent="0.25">
      <c r="K43" s="107">
        <v>1</v>
      </c>
      <c r="L43" s="107">
        <v>2</v>
      </c>
      <c r="N43" s="107">
        <v>3</v>
      </c>
      <c r="O43" s="107">
        <v>5</v>
      </c>
      <c r="Q43" s="107">
        <v>4</v>
      </c>
      <c r="R43" s="107">
        <v>6</v>
      </c>
    </row>
    <row r="44" spans="1:21" ht="16.5" thickBot="1" x14ac:dyDescent="0.3">
      <c r="A44" s="43" t="s">
        <v>56</v>
      </c>
      <c r="B44" s="44"/>
      <c r="C44" s="10" t="s">
        <v>26</v>
      </c>
      <c r="D44" s="10" t="s">
        <v>10</v>
      </c>
      <c r="E44" s="11" t="s">
        <v>11</v>
      </c>
      <c r="F44" s="11" t="s">
        <v>12</v>
      </c>
      <c r="G44" s="12" t="s">
        <v>13</v>
      </c>
      <c r="K44" s="107">
        <v>2</v>
      </c>
      <c r="L44" s="107">
        <v>3</v>
      </c>
      <c r="N44" s="107">
        <v>1</v>
      </c>
      <c r="O44" s="107">
        <v>4</v>
      </c>
      <c r="Q44" s="107">
        <v>5</v>
      </c>
      <c r="R44" s="107">
        <v>6</v>
      </c>
    </row>
    <row r="45" spans="1:21" ht="15.75" thickBot="1" x14ac:dyDescent="0.25">
      <c r="A45" s="43"/>
      <c r="B45" s="44"/>
      <c r="C45" s="20" t="s">
        <v>49</v>
      </c>
      <c r="D45" s="16" t="s">
        <v>57</v>
      </c>
      <c r="E45" s="13" t="s">
        <v>0</v>
      </c>
      <c r="F45" s="102" t="str">
        <f>VLOOKUP(H45,[1]Участники!$C$57:$D$62,2,0)</f>
        <v>Овчинников И.</v>
      </c>
      <c r="G45" s="91" t="str">
        <f>VLOOKUP(I45,[1]Участники!$C$57:$D$62,2,0)</f>
        <v>Неталиев А.</v>
      </c>
      <c r="H45" s="101">
        <v>3</v>
      </c>
      <c r="I45" s="101">
        <v>4</v>
      </c>
      <c r="J45" s="90"/>
      <c r="K45" s="107">
        <v>1</v>
      </c>
      <c r="L45" s="107">
        <v>3</v>
      </c>
      <c r="N45" s="107">
        <v>2</v>
      </c>
      <c r="O45" s="107">
        <v>6</v>
      </c>
      <c r="Q45" s="107">
        <v>4</v>
      </c>
      <c r="R45" s="107">
        <v>5</v>
      </c>
    </row>
    <row r="46" spans="1:21" ht="16.5" customHeight="1" thickBot="1" x14ac:dyDescent="0.25">
      <c r="A46" s="43"/>
      <c r="B46" s="44"/>
      <c r="C46" s="21"/>
      <c r="D46" s="16" t="s">
        <v>58</v>
      </c>
      <c r="E46" s="13" t="s">
        <v>1</v>
      </c>
      <c r="F46" s="102" t="str">
        <f>VLOOKUP(H46,[1]Участники!$C$57:$D$62,2,0)</f>
        <v>Овчинников И.</v>
      </c>
      <c r="G46" s="110" t="str">
        <f>VLOOKUP(I46,[1]Участники!$C$57:$D$62,2,0)</f>
        <v>Чепендюк Е.</v>
      </c>
      <c r="H46" s="101">
        <v>3</v>
      </c>
      <c r="I46" s="101">
        <v>6</v>
      </c>
      <c r="J46" s="90"/>
    </row>
    <row r="47" spans="1:21" ht="16.5" customHeight="1" thickBot="1" x14ac:dyDescent="0.25">
      <c r="A47" s="43"/>
      <c r="B47" s="44"/>
      <c r="C47" s="21"/>
      <c r="D47" s="16" t="s">
        <v>59</v>
      </c>
      <c r="E47" s="13" t="s">
        <v>2</v>
      </c>
      <c r="F47" s="38" t="str">
        <f>VLOOKUP(H47,[1]Участники!$C$57:$D$62,2,0)</f>
        <v>Папичев Н.</v>
      </c>
      <c r="G47" s="40" t="str">
        <f>VLOOKUP(I47,[1]Участники!$C$57:$D$62,2,0)</f>
        <v>Шестаков Д.</v>
      </c>
      <c r="H47" s="101">
        <v>1</v>
      </c>
      <c r="I47" s="101">
        <v>2</v>
      </c>
      <c r="J47" s="90"/>
    </row>
    <row r="48" spans="1:21" ht="16.5" customHeight="1" thickBot="1" x14ac:dyDescent="0.25">
      <c r="A48" s="43"/>
      <c r="B48" s="44"/>
      <c r="C48" s="21"/>
      <c r="D48" s="16" t="s">
        <v>60</v>
      </c>
      <c r="E48" s="13" t="s">
        <v>3</v>
      </c>
      <c r="F48" s="36" t="str">
        <f>VLOOKUP(H48,[1]Участники!$C$57:$D$62,2,0)</f>
        <v>Шестаков Д.</v>
      </c>
      <c r="G48" s="108" t="str">
        <f>VLOOKUP(I48,[1]Участники!$C$57:$D$62,2,0)</f>
        <v>Овчинников И.</v>
      </c>
      <c r="H48" s="101">
        <v>2</v>
      </c>
      <c r="I48" s="101">
        <v>3</v>
      </c>
      <c r="J48" s="90"/>
    </row>
    <row r="49" spans="1:15" ht="16.5" customHeight="1" thickBot="1" x14ac:dyDescent="0.25">
      <c r="A49" s="43"/>
      <c r="B49" s="44"/>
      <c r="C49" s="22"/>
      <c r="D49" s="47" t="s">
        <v>61</v>
      </c>
      <c r="E49" s="92" t="s">
        <v>4</v>
      </c>
      <c r="F49" s="113" t="str">
        <f>VLOOKUP(H49,[1]Участники!$C$57:$D$62,2,0)</f>
        <v>Папичев Н.</v>
      </c>
      <c r="G49" s="109" t="str">
        <f>VLOOKUP(I49,[1]Участники!$C$57:$D$62,2,0)</f>
        <v>Овчинников И.</v>
      </c>
      <c r="H49" s="101">
        <v>1</v>
      </c>
      <c r="I49" s="101">
        <v>3</v>
      </c>
      <c r="J49" s="90"/>
    </row>
    <row r="50" spans="1:15" ht="16.5" customHeight="1" thickBot="1" x14ac:dyDescent="0.25">
      <c r="A50" s="43"/>
      <c r="B50" s="44"/>
      <c r="C50" s="93" t="s">
        <v>53</v>
      </c>
      <c r="D50" s="88" t="s">
        <v>57</v>
      </c>
      <c r="E50" s="86" t="s">
        <v>5</v>
      </c>
      <c r="F50" s="38" t="str">
        <f>VLOOKUP(H50,[1]Участники!$C$57:$D$62,2,0)</f>
        <v>Папичев Н.</v>
      </c>
      <c r="G50" s="110" t="str">
        <f>VLOOKUP(I50,[1]Участники!$C$57:$D$62,2,0)</f>
        <v>Чепендюк Е.</v>
      </c>
      <c r="H50" s="104">
        <v>1</v>
      </c>
      <c r="I50" s="104">
        <v>6</v>
      </c>
      <c r="J50" s="90"/>
    </row>
    <row r="51" spans="1:15" ht="15.75" thickBot="1" x14ac:dyDescent="0.25">
      <c r="A51" s="43"/>
      <c r="B51" s="44"/>
      <c r="C51" s="87"/>
      <c r="D51" s="88" t="s">
        <v>58</v>
      </c>
      <c r="E51" s="86" t="s">
        <v>6</v>
      </c>
      <c r="F51" s="38" t="str">
        <f>VLOOKUP(H51,[1]Участники!$C$57:$D$62,2,0)</f>
        <v>Папичев Н.</v>
      </c>
      <c r="G51" s="41" t="str">
        <f>VLOOKUP(I51,[1]Участники!$C$57:$D$62,2,0)</f>
        <v>Хасянов М.</v>
      </c>
      <c r="H51" s="104">
        <v>1</v>
      </c>
      <c r="I51" s="104">
        <v>5</v>
      </c>
      <c r="J51" s="90"/>
    </row>
    <row r="52" spans="1:15" ht="15.75" thickBot="1" x14ac:dyDescent="0.25">
      <c r="A52" s="43"/>
      <c r="B52" s="44"/>
      <c r="C52" s="87"/>
      <c r="D52" s="88" t="s">
        <v>59</v>
      </c>
      <c r="E52" s="86" t="s">
        <v>7</v>
      </c>
      <c r="F52" s="102" t="str">
        <f>VLOOKUP(H52,[1]Участники!$C$57:$D$62,2,0)</f>
        <v>Овчинников И.</v>
      </c>
      <c r="G52" s="41" t="str">
        <f>VLOOKUP(I52,[1]Участники!$C$57:$D$62,2,0)</f>
        <v>Хасянов М.</v>
      </c>
      <c r="H52" s="104">
        <v>3</v>
      </c>
      <c r="I52" s="104">
        <v>5</v>
      </c>
      <c r="J52" s="90"/>
    </row>
    <row r="53" spans="1:15" ht="15.75" thickBot="1" x14ac:dyDescent="0.25">
      <c r="A53" s="43"/>
      <c r="B53" s="44"/>
      <c r="C53" s="87"/>
      <c r="D53" s="88" t="s">
        <v>60</v>
      </c>
      <c r="E53" s="86" t="s">
        <v>8</v>
      </c>
      <c r="F53" s="38" t="str">
        <f>VLOOKUP(H53,[1]Участники!$C$57:$D$62,2,0)</f>
        <v>Папичев Н.</v>
      </c>
      <c r="G53" s="91" t="str">
        <f>VLOOKUP(I53,[1]Участники!$C$57:$D$62,2,0)</f>
        <v>Неталиев А.</v>
      </c>
      <c r="H53" s="104">
        <v>1</v>
      </c>
      <c r="I53" s="104">
        <v>4</v>
      </c>
      <c r="J53" s="90"/>
    </row>
    <row r="54" spans="1:15" ht="15.75" thickBot="1" x14ac:dyDescent="0.25">
      <c r="A54" s="43"/>
      <c r="B54" s="44"/>
      <c r="C54" s="94"/>
      <c r="D54" s="95" t="s">
        <v>61</v>
      </c>
      <c r="E54" s="96" t="s">
        <v>9</v>
      </c>
      <c r="F54" s="112" t="str">
        <f>VLOOKUP(H54,[1]Участники!$C$57:$D$62,2,0)</f>
        <v>Шестаков Д.</v>
      </c>
      <c r="G54" s="111" t="str">
        <f>VLOOKUP(I54,[1]Участники!$C$57:$D$62,2,0)</f>
        <v>Чепендюк Е.</v>
      </c>
      <c r="H54" s="104">
        <v>2</v>
      </c>
      <c r="I54" s="104">
        <v>6</v>
      </c>
      <c r="J54" s="90"/>
      <c r="M54" s="90"/>
    </row>
    <row r="55" spans="1:15" ht="16.5" customHeight="1" thickBot="1" x14ac:dyDescent="0.25">
      <c r="A55" s="43"/>
      <c r="B55" s="44"/>
      <c r="C55" s="26" t="s">
        <v>54</v>
      </c>
      <c r="D55" s="27" t="s">
        <v>57</v>
      </c>
      <c r="E55" s="29" t="s">
        <v>27</v>
      </c>
      <c r="F55" s="36" t="str">
        <f>VLOOKUP(H55,[1]Участники!$C$57:$D$62,2,0)</f>
        <v>Шестаков Д.</v>
      </c>
      <c r="G55" s="41" t="str">
        <f>VLOOKUP(I55,[1]Участники!$C$57:$D$62,2,0)</f>
        <v>Хасянов М.</v>
      </c>
      <c r="H55" s="107">
        <v>2</v>
      </c>
      <c r="I55" s="107">
        <v>5</v>
      </c>
      <c r="J55" s="90"/>
      <c r="K55" s="90"/>
      <c r="L55" s="90"/>
      <c r="M55" s="90"/>
      <c r="N55" s="90"/>
      <c r="O55" s="90"/>
    </row>
    <row r="56" spans="1:15" ht="15.75" thickBot="1" x14ac:dyDescent="0.25">
      <c r="A56" s="43"/>
      <c r="B56" s="44"/>
      <c r="C56" s="28"/>
      <c r="D56" s="27" t="s">
        <v>58</v>
      </c>
      <c r="E56" s="29" t="s">
        <v>28</v>
      </c>
      <c r="F56" s="36" t="str">
        <f>VLOOKUP(H56,[1]Участники!$C$57:$D$62,2,0)</f>
        <v>Шестаков Д.</v>
      </c>
      <c r="G56" s="91" t="str">
        <f>VLOOKUP(I56,[1]Участники!$C$57:$D$62,2,0)</f>
        <v>Неталиев А.</v>
      </c>
      <c r="H56" s="107">
        <v>2</v>
      </c>
      <c r="I56" s="107">
        <v>4</v>
      </c>
      <c r="J56" s="90"/>
      <c r="K56" s="90"/>
      <c r="L56" s="90"/>
      <c r="M56" s="90"/>
      <c r="N56" s="90"/>
      <c r="O56" s="90"/>
    </row>
    <row r="57" spans="1:15" ht="15.75" thickBot="1" x14ac:dyDescent="0.25">
      <c r="A57" s="43"/>
      <c r="B57" s="44"/>
      <c r="C57" s="28"/>
      <c r="D57" s="27" t="s">
        <v>59</v>
      </c>
      <c r="E57" s="29" t="s">
        <v>29</v>
      </c>
      <c r="F57" s="34" t="str">
        <f>VLOOKUP(H57,[1]Участники!$C$57:$D$62,2,0)</f>
        <v>Неталиев А.</v>
      </c>
      <c r="G57" s="110" t="str">
        <f>VLOOKUP(I57,[1]Участники!$C$57:$D$62,2,0)</f>
        <v>Чепендюк Е.</v>
      </c>
      <c r="H57" s="107">
        <v>4</v>
      </c>
      <c r="I57" s="107">
        <v>6</v>
      </c>
      <c r="J57" s="90"/>
      <c r="K57" s="90"/>
      <c r="L57" s="90"/>
      <c r="M57" s="90"/>
      <c r="N57" s="90"/>
      <c r="O57" s="90"/>
    </row>
    <row r="58" spans="1:15" ht="15.75" thickBot="1" x14ac:dyDescent="0.25">
      <c r="A58" s="43"/>
      <c r="B58" s="44"/>
      <c r="C58" s="28"/>
      <c r="D58" s="27" t="s">
        <v>60</v>
      </c>
      <c r="E58" s="29" t="s">
        <v>30</v>
      </c>
      <c r="F58" s="39" t="str">
        <f>VLOOKUP(H58,[1]Участники!$C$57:$D$62,2,0)</f>
        <v>Хасянов М.</v>
      </c>
      <c r="G58" s="110" t="str">
        <f>VLOOKUP(I58,[1]Участники!$C$57:$D$62,2,0)</f>
        <v>Чепендюк Е.</v>
      </c>
      <c r="H58" s="107">
        <v>5</v>
      </c>
      <c r="I58" s="107">
        <v>6</v>
      </c>
      <c r="J58" s="90"/>
      <c r="K58" s="90"/>
      <c r="L58" s="90"/>
      <c r="M58" s="90"/>
      <c r="N58" s="90"/>
      <c r="O58" s="90"/>
    </row>
    <row r="59" spans="1:15" ht="15.75" thickBot="1" x14ac:dyDescent="0.25">
      <c r="A59" s="43"/>
      <c r="B59" s="44"/>
      <c r="C59" s="30"/>
      <c r="D59" s="31" t="s">
        <v>61</v>
      </c>
      <c r="E59" s="97" t="s">
        <v>31</v>
      </c>
      <c r="F59" s="45" t="str">
        <f>VLOOKUP(H59,[1]Участники!$C$57:$D$62,2,0)</f>
        <v>Неталиев А.</v>
      </c>
      <c r="G59" s="49" t="str">
        <f>VLOOKUP(I59,[1]Участники!$C$57:$D$62,2,0)</f>
        <v>Хасянов М.</v>
      </c>
      <c r="H59" s="107">
        <v>4</v>
      </c>
      <c r="I59" s="107">
        <v>5</v>
      </c>
    </row>
  </sheetData>
  <mergeCells count="10">
    <mergeCell ref="C36:C42"/>
    <mergeCell ref="A14:B42"/>
    <mergeCell ref="A44:B59"/>
    <mergeCell ref="C45:C49"/>
    <mergeCell ref="C50:C54"/>
    <mergeCell ref="C55:C59"/>
    <mergeCell ref="A2:B12"/>
    <mergeCell ref="C15:C21"/>
    <mergeCell ref="C22:C28"/>
    <mergeCell ref="C29:C35"/>
  </mergeCells>
  <conditionalFormatting sqref="T32:U32 Q32:R32 K29:U31 N32:O32 K32:M33 N33:U33 K34:U3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:G42"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1:R42 K41:L42 K43:R4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dcterms:created xsi:type="dcterms:W3CDTF">2015-06-05T18:19:34Z</dcterms:created>
  <dcterms:modified xsi:type="dcterms:W3CDTF">2026-10-16T11:02:27Z</dcterms:modified>
</cp:coreProperties>
</file>